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)" sheetId="1" r:id="rId5"/>
  </sheets>
  <definedNames/>
  <calcPr/>
</workbook>
</file>

<file path=xl/sharedStrings.xml><?xml version="1.0" encoding="utf-8"?>
<sst xmlns="http://schemas.openxmlformats.org/spreadsheetml/2006/main" count="114" uniqueCount="82">
  <si>
    <t>Ref. Fabricante</t>
  </si>
  <si>
    <t>Descrição</t>
  </si>
  <si>
    <t>Categoria</t>
  </si>
  <si>
    <t>Quant.</t>
  </si>
  <si>
    <t>Preço un.</t>
  </si>
  <si>
    <t>Sub-total</t>
  </si>
  <si>
    <t>Distribuidor</t>
  </si>
  <si>
    <t>URL</t>
  </si>
  <si>
    <t>‎AM03DE-GXFB0014-005</t>
  </si>
  <si>
    <t>Microcontrolador ESP32-WROOM-32</t>
  </si>
  <si>
    <t>Microcontrolador</t>
  </si>
  <si>
    <t>Amazon</t>
  </si>
  <si>
    <t>https://www.amazon.es/-/pt/dp/B0D9BTQRYT</t>
  </si>
  <si>
    <t>096-8517</t>
  </si>
  <si>
    <t>Leitor RFID RC522</t>
  </si>
  <si>
    <t>Sensor RFID</t>
  </si>
  <si>
    <t>Mauser</t>
  </si>
  <si>
    <t>https://mauser.pt/096-8517</t>
  </si>
  <si>
    <t>096-0378</t>
  </si>
  <si>
    <t>MP3 Player DFR0768</t>
  </si>
  <si>
    <t>MP3 Player</t>
  </si>
  <si>
    <t>https://mauser.pt/096-0378</t>
  </si>
  <si>
    <t>001726aa241125qmaneu</t>
  </si>
  <si>
    <t>Alto-falante QUARKZMAN 4 Pack 2W 4ohm</t>
  </si>
  <si>
    <t>Alto-falante</t>
  </si>
  <si>
    <t>https://www.amazon.es/-/pt/dp/B0DS6F2LS7</t>
  </si>
  <si>
    <t>Micro Servo Motor</t>
  </si>
  <si>
    <t>Atuador Eletrico</t>
  </si>
  <si>
    <t>https://www.amazon.es/-/pt/dp/B0DSPYZ4SH</t>
  </si>
  <si>
    <t>‎rfid sticker</t>
  </si>
  <si>
    <t>Adesivo RFID 13.56 MHz (30x15mm)</t>
  </si>
  <si>
    <t>Adesivo RFID</t>
  </si>
  <si>
    <t>https://www.amazon.es/-/pt/dp/B08NJKTPR8</t>
  </si>
  <si>
    <t>B1183397</t>
  </si>
  <si>
    <t>Bateria 3.7V 2200mAh</t>
  </si>
  <si>
    <t>Bateria</t>
  </si>
  <si>
    <t>https://www.amazon.es/-/pt/dp/B0DJY8CWGR</t>
  </si>
  <si>
    <t>096-8753</t>
  </si>
  <si>
    <t>Tela OLED 1.3" 128x64</t>
  </si>
  <si>
    <t>Display</t>
  </si>
  <si>
    <t>https://mauser.pt/096-8753</t>
  </si>
  <si>
    <t>R915</t>
  </si>
  <si>
    <t xml:space="preserve">USB-C Fêmea Resistênte a Água </t>
  </si>
  <si>
    <t>USB-C Entrada</t>
  </si>
  <si>
    <t>https://www.amazon.es/-/pt/dp/B0CDBZZQBZ</t>
  </si>
  <si>
    <t>095-1366</t>
  </si>
  <si>
    <t>Módulo Carregador de Bateria DFR1026</t>
  </si>
  <si>
    <t>Carregamento</t>
  </si>
  <si>
    <t>https://mauser.pt/095-1366</t>
  </si>
  <si>
    <t>T353</t>
  </si>
  <si>
    <t>Suporte de Bateria</t>
  </si>
  <si>
    <t>Suporte</t>
  </si>
  <si>
    <t>https://www.amazon.es/-/pt/dp/B08CY56M98</t>
  </si>
  <si>
    <t>002-1190</t>
  </si>
  <si>
    <t>Transistor IRLZ44N</t>
  </si>
  <si>
    <t>Eletrônica</t>
  </si>
  <si>
    <t>https://mauser.pt/002-1190</t>
  </si>
  <si>
    <t>002-1349</t>
  </si>
  <si>
    <t>Transistor 2N7000</t>
  </si>
  <si>
    <t>https://mauser.pt/002-1349</t>
  </si>
  <si>
    <t>BJ-RS-25VALUES-1000PCS</t>
  </si>
  <si>
    <t>Resistor 1kΩ</t>
  </si>
  <si>
    <t>https://www.amazon.es/-/pt/dp/B08FD1XVL6</t>
  </si>
  <si>
    <t>Resistor 10kΩ</t>
  </si>
  <si>
    <t>Resistor 10Ω</t>
  </si>
  <si>
    <t>004-0601</t>
  </si>
  <si>
    <t>Condensador Electrolítico 10uF 25V</t>
  </si>
  <si>
    <t>https://mauser.pt/004-0601</t>
  </si>
  <si>
    <t>004-0177</t>
  </si>
  <si>
    <t>Condensador Electrolítico 1000uF 35V</t>
  </si>
  <si>
    <t>https://mauser.pt/004-0177</t>
  </si>
  <si>
    <t>004-5086</t>
  </si>
  <si>
    <t>Condensador Cerâmico 100nF 50V</t>
  </si>
  <si>
    <t>https://mauser.pt/004-5086</t>
  </si>
  <si>
    <t>031-0028</t>
  </si>
  <si>
    <t>Bobina de Indutância Radial 100uH 1700mA</t>
  </si>
  <si>
    <t>https://mauser.pt/031-0028</t>
  </si>
  <si>
    <t>096-6400</t>
  </si>
  <si>
    <t>Placa ProtoBoard 50x70mm 432 Furos</t>
  </si>
  <si>
    <t>https://mauser.pt/096-6400</t>
  </si>
  <si>
    <t>Sub-Total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</si>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</sst>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&quot;€&quot;#,##0.00"/>
  </numFmts>
  <fonts count="7">
    <font>
      <sz val="12.0"/>
      <color theme="1"/>
      <name val="Calibri"/>
      <scheme val="minor"/>
    </font>
    <font>
      <b/>
      <color rgb="FF000000"/>
      <name val="JetBrains Mono"/>
    </font>
    <font>
      <color rgb="FF000000"/>
      <name val="JetBrains Mono"/>
    </font>
    <font>
      <b/>
      <sz val="12.0"/>
      <color theme="1"/>
      <name val="JetBrains Mono"/>
    </font>
    <font>
      <u/>
      <color rgb="FF000000"/>
      <name val="JetBrains Mono"/>
    </font>
    <font>
      <color theme="1"/>
      <name val="JetBrains Mono"/>
    </font>
    <font>
      <sz val="12.0"/>
      <color rgb="FF000000"/>
      <name val="JetBrains Mon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165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user.pt/031-0028" TargetMode="External"/><Relationship Id="rId11" Type="http://schemas.openxmlformats.org/officeDocument/2006/relationships/hyperlink" Target="https://www.amazon.es/-/pt/dp/B08CY56M98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mauser.pt/095-1366/dfrobot-dfr1026-modulo-carregador-de-bateria-li-ion-2a-c-bms-e-output-5v" TargetMode="External"/><Relationship Id="rId21" Type="http://schemas.openxmlformats.org/officeDocument/2006/relationships/hyperlink" Target="https://mauser.pt/096-6400" TargetMode="External"/><Relationship Id="rId13" Type="http://schemas.openxmlformats.org/officeDocument/2006/relationships/hyperlink" Target="https://mauser.pt/002-1349" TargetMode="External"/><Relationship Id="rId12" Type="http://schemas.openxmlformats.org/officeDocument/2006/relationships/hyperlink" Target="https://mauser.pt/002-1190" TargetMode="External"/><Relationship Id="rId1" Type="http://schemas.openxmlformats.org/officeDocument/2006/relationships/hyperlink" Target="https://www.amazon.es/-/pt/dp/B0D9BTQRYT/ref=sr_1_6" TargetMode="External"/><Relationship Id="rId2" Type="http://schemas.openxmlformats.org/officeDocument/2006/relationships/hyperlink" Target="https://mauser.pt/096-8517" TargetMode="External"/><Relationship Id="rId3" Type="http://schemas.openxmlformats.org/officeDocument/2006/relationships/hyperlink" Target="https://mauser.pt/096-0378/dfrobot-dfr0768-mini-modulo-leitor-de-mp3-c-128mb-usb-c-2-barras-de-pinos-fermion-dfplayer-pro" TargetMode="External"/><Relationship Id="rId4" Type="http://schemas.openxmlformats.org/officeDocument/2006/relationships/hyperlink" Target="https://www.amazon.es/-/pt/dp/B0DS6F2LS7/ref=sr_1_14" TargetMode="External"/><Relationship Id="rId9" Type="http://schemas.openxmlformats.org/officeDocument/2006/relationships/hyperlink" Target="https://www.amazon.es/-/pt/dp/B0CDBZZQBZ/ref=sr_1_3" TargetMode="External"/><Relationship Id="rId15" Type="http://schemas.openxmlformats.org/officeDocument/2006/relationships/hyperlink" Target="https://www.amazon.es/-/pt/dp/B08FD1XVL6/ref=sr_1_6" TargetMode="External"/><Relationship Id="rId14" Type="http://schemas.openxmlformats.org/officeDocument/2006/relationships/hyperlink" Target="https://www.amazon.es/-/pt/dp/B08FD1XVL6/ref=sr_1_6" TargetMode="External"/><Relationship Id="rId17" Type="http://schemas.openxmlformats.org/officeDocument/2006/relationships/hyperlink" Target="https://mauser.pt/004-0601/condensador-electrolitico-10uf-25v-85-5x11mm" TargetMode="External"/><Relationship Id="rId16" Type="http://schemas.openxmlformats.org/officeDocument/2006/relationships/hyperlink" Target="https://www.amazon.es/-/pt/dp/B08FD1XVL6/ref=sr_1_6" TargetMode="External"/><Relationship Id="rId5" Type="http://schemas.openxmlformats.org/officeDocument/2006/relationships/hyperlink" Target="https://www.amazon.es/-/pt/dp/B0DSPYZ4SH/ref=sr_1_4" TargetMode="External"/><Relationship Id="rId19" Type="http://schemas.openxmlformats.org/officeDocument/2006/relationships/hyperlink" Target="https://mauser.pt/004-5086" TargetMode="External"/><Relationship Id="rId6" Type="http://schemas.openxmlformats.org/officeDocument/2006/relationships/hyperlink" Target="https://www.amazon.es/-/pt/dp/B08NJKTPR8/ref=sr_1_5" TargetMode="External"/><Relationship Id="rId18" Type="http://schemas.openxmlformats.org/officeDocument/2006/relationships/hyperlink" Target="https://mauser.pt/004-0177" TargetMode="External"/><Relationship Id="rId7" Type="http://schemas.openxmlformats.org/officeDocument/2006/relationships/hyperlink" Target="https://www.amazon.es/-/pt/dp/B0DJY8CWGR/ref=sr_1_2" TargetMode="External"/><Relationship Id="rId8" Type="http://schemas.openxmlformats.org/officeDocument/2006/relationships/hyperlink" Target="https://mauser.pt/096-8753/modulo-ecra-oled-de-1-3-para-arduino-az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5.22"/>
    <col customWidth="1" min="2" max="2" width="45.78"/>
    <col customWidth="1" min="3" max="3" width="25.56"/>
    <col customWidth="1" min="4" max="4" width="8.78"/>
    <col customWidth="1" min="5" max="5" width="11.78"/>
    <col customWidth="1" min="6" max="6" width="12.33"/>
    <col customWidth="1" min="7" max="7" width="16.78"/>
    <col customWidth="1" min="8" max="8" width="45.33"/>
    <col customWidth="1" min="9" max="9" width="43.44"/>
    <col customWidth="1" min="10" max="26" width="10.56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2" t="s">
        <v>8</v>
      </c>
      <c r="B2" s="2" t="s">
        <v>9</v>
      </c>
      <c r="C2" s="2" t="s">
        <v>10</v>
      </c>
      <c r="D2" s="2">
        <v>1.0</v>
      </c>
      <c r="E2" s="2">
        <v>7.11</v>
      </c>
      <c r="F2" s="2">
        <f t="shared" ref="F2:F22" si="1">E2*D2</f>
        <v>7.11</v>
      </c>
      <c r="G2" s="2" t="s">
        <v>11</v>
      </c>
      <c r="H2" s="4" t="s">
        <v>12</v>
      </c>
      <c r="I2" s="2"/>
      <c r="J2" s="2"/>
      <c r="K2" s="2"/>
      <c r="L2" s="2"/>
      <c r="M2" s="2"/>
      <c r="N2" s="2"/>
      <c r="O2" s="2"/>
      <c r="P2" s="2"/>
      <c r="Q2" s="5"/>
      <c r="R2" s="5"/>
      <c r="S2" s="5"/>
      <c r="T2" s="5"/>
      <c r="U2" s="5"/>
      <c r="V2" s="5"/>
      <c r="W2" s="5"/>
      <c r="X2" s="5"/>
      <c r="Y2" s="5"/>
      <c r="Z2" s="5"/>
    </row>
    <row r="3" ht="17.25" customHeight="1">
      <c r="A3" s="2" t="s">
        <v>13</v>
      </c>
      <c r="B3" s="2" t="s">
        <v>14</v>
      </c>
      <c r="C3" s="2" t="s">
        <v>15</v>
      </c>
      <c r="D3" s="2">
        <v>1.0</v>
      </c>
      <c r="E3" s="2">
        <v>1.96</v>
      </c>
      <c r="F3" s="2">
        <f t="shared" si="1"/>
        <v>1.96</v>
      </c>
      <c r="G3" s="2" t="s">
        <v>16</v>
      </c>
      <c r="H3" s="4" t="s">
        <v>17</v>
      </c>
      <c r="I3" s="2"/>
      <c r="J3" s="2"/>
      <c r="K3" s="2"/>
      <c r="L3" s="2"/>
      <c r="M3" s="2"/>
      <c r="N3" s="2"/>
      <c r="O3" s="2"/>
      <c r="P3" s="2"/>
      <c r="Q3" s="5"/>
      <c r="R3" s="5"/>
      <c r="S3" s="5"/>
      <c r="T3" s="5"/>
      <c r="U3" s="5"/>
      <c r="V3" s="5"/>
      <c r="W3" s="5"/>
      <c r="X3" s="5"/>
      <c r="Y3" s="5"/>
      <c r="Z3" s="5"/>
    </row>
    <row r="4" ht="17.25" customHeight="1">
      <c r="A4" s="2" t="s">
        <v>18</v>
      </c>
      <c r="B4" s="2" t="s">
        <v>19</v>
      </c>
      <c r="C4" s="2" t="s">
        <v>20</v>
      </c>
      <c r="D4" s="2">
        <v>1.0</v>
      </c>
      <c r="E4" s="2">
        <v>10.2</v>
      </c>
      <c r="F4" s="2">
        <f t="shared" si="1"/>
        <v>10.2</v>
      </c>
      <c r="G4" s="2" t="s">
        <v>16</v>
      </c>
      <c r="H4" s="4" t="s">
        <v>21</v>
      </c>
      <c r="I4" s="2"/>
      <c r="J4" s="2"/>
      <c r="K4" s="2"/>
      <c r="L4" s="2"/>
      <c r="M4" s="2"/>
      <c r="N4" s="2"/>
      <c r="O4" s="2"/>
      <c r="P4" s="2"/>
      <c r="Q4" s="5"/>
      <c r="R4" s="5"/>
      <c r="S4" s="5"/>
      <c r="T4" s="5"/>
      <c r="U4" s="5"/>
      <c r="V4" s="5"/>
      <c r="W4" s="5"/>
      <c r="X4" s="5"/>
      <c r="Y4" s="5"/>
      <c r="Z4" s="5"/>
    </row>
    <row r="5" ht="17.25" customHeight="1">
      <c r="A5" s="2" t="s">
        <v>22</v>
      </c>
      <c r="B5" s="2" t="s">
        <v>23</v>
      </c>
      <c r="C5" s="2" t="s">
        <v>24</v>
      </c>
      <c r="D5" s="2">
        <v>2.0</v>
      </c>
      <c r="E5" s="2">
        <v>1.98</v>
      </c>
      <c r="F5" s="2">
        <f t="shared" si="1"/>
        <v>3.96</v>
      </c>
      <c r="G5" s="2" t="s">
        <v>11</v>
      </c>
      <c r="H5" s="4" t="s">
        <v>25</v>
      </c>
      <c r="I5" s="2"/>
      <c r="J5" s="2"/>
      <c r="K5" s="2"/>
      <c r="L5" s="2"/>
      <c r="M5" s="2"/>
      <c r="N5" s="2"/>
      <c r="O5" s="2"/>
      <c r="P5" s="2"/>
      <c r="Q5" s="5"/>
      <c r="R5" s="5"/>
      <c r="S5" s="5"/>
      <c r="T5" s="5"/>
      <c r="U5" s="5"/>
      <c r="V5" s="5"/>
      <c r="W5" s="5"/>
      <c r="X5" s="5"/>
      <c r="Y5" s="5"/>
      <c r="Z5" s="5"/>
    </row>
    <row r="6" ht="17.25" customHeight="1">
      <c r="A6" s="2">
        <v>4675221.0</v>
      </c>
      <c r="B6" s="2" t="s">
        <v>26</v>
      </c>
      <c r="C6" s="2" t="s">
        <v>27</v>
      </c>
      <c r="D6" s="2">
        <v>3.0</v>
      </c>
      <c r="E6" s="2">
        <v>2.6633333333</v>
      </c>
      <c r="F6" s="2">
        <f t="shared" si="1"/>
        <v>7.99</v>
      </c>
      <c r="G6" s="2" t="s">
        <v>11</v>
      </c>
      <c r="H6" s="4" t="s">
        <v>28</v>
      </c>
      <c r="I6" s="2"/>
      <c r="J6" s="2"/>
      <c r="K6" s="2"/>
      <c r="L6" s="2"/>
      <c r="M6" s="2"/>
      <c r="N6" s="2"/>
      <c r="O6" s="2"/>
      <c r="P6" s="2"/>
      <c r="Q6" s="5"/>
      <c r="R6" s="5"/>
      <c r="S6" s="5"/>
      <c r="T6" s="5"/>
      <c r="U6" s="5"/>
      <c r="V6" s="5"/>
      <c r="W6" s="5"/>
      <c r="X6" s="5"/>
      <c r="Y6" s="5"/>
      <c r="Z6" s="5"/>
    </row>
    <row r="7" ht="17.25" customHeight="1">
      <c r="A7" s="2" t="s">
        <v>29</v>
      </c>
      <c r="B7" s="2" t="s">
        <v>30</v>
      </c>
      <c r="C7" s="2" t="s">
        <v>31</v>
      </c>
      <c r="D7" s="2">
        <v>5.0</v>
      </c>
      <c r="E7" s="2">
        <v>0.608</v>
      </c>
      <c r="F7" s="2">
        <f t="shared" si="1"/>
        <v>3.04</v>
      </c>
      <c r="G7" s="2" t="s">
        <v>11</v>
      </c>
      <c r="H7" s="4" t="s">
        <v>32</v>
      </c>
      <c r="I7" s="2"/>
      <c r="J7" s="2"/>
      <c r="K7" s="2"/>
      <c r="L7" s="2"/>
      <c r="M7" s="2"/>
      <c r="N7" s="2"/>
      <c r="O7" s="2"/>
      <c r="P7" s="2"/>
      <c r="Q7" s="5"/>
      <c r="R7" s="5"/>
      <c r="S7" s="5"/>
      <c r="T7" s="5"/>
      <c r="U7" s="5"/>
      <c r="V7" s="5"/>
      <c r="W7" s="5"/>
      <c r="X7" s="5"/>
      <c r="Y7" s="5"/>
      <c r="Z7" s="5"/>
    </row>
    <row r="8" ht="17.25" customHeight="1">
      <c r="A8" s="2" t="s">
        <v>33</v>
      </c>
      <c r="B8" s="2" t="s">
        <v>34</v>
      </c>
      <c r="C8" s="2" t="s">
        <v>35</v>
      </c>
      <c r="D8" s="2">
        <v>2.0</v>
      </c>
      <c r="E8" s="2">
        <v>8.3</v>
      </c>
      <c r="F8" s="2">
        <f t="shared" si="1"/>
        <v>16.6</v>
      </c>
      <c r="G8" s="2" t="s">
        <v>11</v>
      </c>
      <c r="H8" s="4" t="s">
        <v>36</v>
      </c>
      <c r="I8" s="2"/>
      <c r="J8" s="2"/>
      <c r="K8" s="2"/>
      <c r="L8" s="2"/>
      <c r="M8" s="2"/>
      <c r="N8" s="2"/>
      <c r="O8" s="2"/>
      <c r="P8" s="2"/>
      <c r="Q8" s="5"/>
      <c r="R8" s="5"/>
      <c r="S8" s="5"/>
      <c r="T8" s="5"/>
      <c r="U8" s="5"/>
      <c r="V8" s="5"/>
      <c r="W8" s="5"/>
      <c r="X8" s="5"/>
      <c r="Y8" s="5"/>
      <c r="Z8" s="5"/>
    </row>
    <row r="9" ht="17.25" customHeight="1">
      <c r="A9" s="2" t="s">
        <v>37</v>
      </c>
      <c r="B9" s="2" t="s">
        <v>38</v>
      </c>
      <c r="C9" s="2" t="s">
        <v>39</v>
      </c>
      <c r="D9" s="2">
        <v>1.0</v>
      </c>
      <c r="E9" s="2">
        <v>6.94</v>
      </c>
      <c r="F9" s="2">
        <f t="shared" si="1"/>
        <v>6.94</v>
      </c>
      <c r="G9" s="2" t="s">
        <v>16</v>
      </c>
      <c r="H9" s="4" t="s">
        <v>40</v>
      </c>
      <c r="I9" s="2"/>
      <c r="J9" s="2"/>
      <c r="K9" s="2"/>
      <c r="L9" s="2"/>
      <c r="M9" s="2"/>
      <c r="N9" s="2"/>
      <c r="O9" s="2"/>
      <c r="P9" s="2"/>
      <c r="Q9" s="5"/>
      <c r="R9" s="5"/>
      <c r="S9" s="5"/>
      <c r="T9" s="5"/>
      <c r="U9" s="5"/>
      <c r="V9" s="5"/>
      <c r="W9" s="5"/>
      <c r="X9" s="5"/>
      <c r="Y9" s="5"/>
      <c r="Z9" s="5"/>
    </row>
    <row r="10" ht="17.25" customHeight="1">
      <c r="A10" s="2" t="s">
        <v>41</v>
      </c>
      <c r="B10" s="2" t="s">
        <v>42</v>
      </c>
      <c r="C10" s="2" t="s">
        <v>43</v>
      </c>
      <c r="D10" s="2">
        <v>1.0</v>
      </c>
      <c r="E10" s="2">
        <v>1.25</v>
      </c>
      <c r="F10" s="2">
        <f t="shared" si="1"/>
        <v>1.25</v>
      </c>
      <c r="G10" s="2" t="s">
        <v>11</v>
      </c>
      <c r="H10" s="4" t="s">
        <v>44</v>
      </c>
      <c r="I10" s="2"/>
      <c r="J10" s="2"/>
      <c r="K10" s="2"/>
      <c r="L10" s="2"/>
      <c r="M10" s="2"/>
      <c r="N10" s="2"/>
      <c r="O10" s="2"/>
      <c r="P10" s="2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25" customHeight="1">
      <c r="A11" s="2" t="s">
        <v>45</v>
      </c>
      <c r="B11" s="2" t="s">
        <v>46</v>
      </c>
      <c r="C11" s="2" t="s">
        <v>47</v>
      </c>
      <c r="D11" s="2">
        <v>1.0</v>
      </c>
      <c r="E11" s="2">
        <v>3.9</v>
      </c>
      <c r="F11" s="2">
        <f t="shared" si="1"/>
        <v>3.9</v>
      </c>
      <c r="G11" s="2" t="s">
        <v>16</v>
      </c>
      <c r="H11" s="4" t="s">
        <v>48</v>
      </c>
      <c r="I11" s="2"/>
      <c r="J11" s="2"/>
      <c r="K11" s="2"/>
      <c r="L11" s="2"/>
      <c r="M11" s="2"/>
      <c r="N11" s="2"/>
      <c r="O11" s="2"/>
      <c r="P11" s="2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7.25" customHeight="1">
      <c r="A12" s="2" t="s">
        <v>49</v>
      </c>
      <c r="B12" s="2" t="s">
        <v>50</v>
      </c>
      <c r="C12" s="2" t="s">
        <v>51</v>
      </c>
      <c r="D12" s="2">
        <v>2.0</v>
      </c>
      <c r="E12" s="2">
        <v>1.016</v>
      </c>
      <c r="F12" s="2">
        <f t="shared" si="1"/>
        <v>2.032</v>
      </c>
      <c r="G12" s="2" t="s">
        <v>11</v>
      </c>
      <c r="H12" s="4" t="s">
        <v>52</v>
      </c>
      <c r="I12" s="2"/>
      <c r="J12" s="2"/>
      <c r="K12" s="2"/>
      <c r="L12" s="2"/>
      <c r="M12" s="2"/>
      <c r="N12" s="2"/>
      <c r="O12" s="2"/>
      <c r="P12" s="2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7.25" customHeight="1">
      <c r="A13" s="2" t="s">
        <v>53</v>
      </c>
      <c r="B13" s="2" t="s">
        <v>54</v>
      </c>
      <c r="C13" s="2" t="s">
        <v>55</v>
      </c>
      <c r="D13" s="2">
        <v>1.0</v>
      </c>
      <c r="E13" s="2">
        <v>1.14</v>
      </c>
      <c r="F13" s="2">
        <f t="shared" si="1"/>
        <v>1.14</v>
      </c>
      <c r="G13" s="2" t="s">
        <v>16</v>
      </c>
      <c r="H13" s="4" t="s">
        <v>56</v>
      </c>
      <c r="I13" s="2"/>
      <c r="J13" s="2"/>
      <c r="K13" s="2"/>
      <c r="L13" s="2"/>
      <c r="M13" s="2"/>
      <c r="N13" s="2"/>
      <c r="O13" s="2"/>
      <c r="P13" s="2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7.25" customHeight="1">
      <c r="A14" s="2" t="s">
        <v>57</v>
      </c>
      <c r="B14" s="2" t="s">
        <v>58</v>
      </c>
      <c r="C14" s="2" t="s">
        <v>55</v>
      </c>
      <c r="D14" s="2">
        <v>1.0</v>
      </c>
      <c r="E14" s="2">
        <v>0.15</v>
      </c>
      <c r="F14" s="2">
        <f t="shared" si="1"/>
        <v>0.15</v>
      </c>
      <c r="G14" s="2" t="s">
        <v>16</v>
      </c>
      <c r="H14" s="4" t="s">
        <v>59</v>
      </c>
      <c r="I14" s="2"/>
      <c r="J14" s="2"/>
      <c r="K14" s="2"/>
      <c r="L14" s="2"/>
      <c r="M14" s="2"/>
      <c r="N14" s="2"/>
      <c r="O14" s="2"/>
      <c r="P14" s="2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7.25" customHeight="1">
      <c r="A15" s="2" t="s">
        <v>60</v>
      </c>
      <c r="B15" s="2" t="s">
        <v>61</v>
      </c>
      <c r="C15" s="2" t="s">
        <v>55</v>
      </c>
      <c r="D15" s="2">
        <v>3.0</v>
      </c>
      <c r="E15" s="2">
        <v>0.01321</v>
      </c>
      <c r="F15" s="2">
        <f t="shared" si="1"/>
        <v>0.03963</v>
      </c>
      <c r="G15" s="2" t="s">
        <v>11</v>
      </c>
      <c r="H15" s="4" t="s">
        <v>62</v>
      </c>
      <c r="I15" s="2"/>
      <c r="J15" s="2"/>
      <c r="K15" s="2"/>
      <c r="L15" s="2"/>
      <c r="M15" s="2"/>
      <c r="N15" s="2"/>
      <c r="O15" s="2"/>
      <c r="P15" s="2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7.25" customHeight="1">
      <c r="A16" s="2" t="s">
        <v>60</v>
      </c>
      <c r="B16" s="2" t="s">
        <v>63</v>
      </c>
      <c r="C16" s="2" t="s">
        <v>55</v>
      </c>
      <c r="D16" s="2">
        <v>2.0</v>
      </c>
      <c r="E16" s="2">
        <v>0.01321</v>
      </c>
      <c r="F16" s="2">
        <f t="shared" si="1"/>
        <v>0.02642</v>
      </c>
      <c r="G16" s="2" t="s">
        <v>11</v>
      </c>
      <c r="H16" s="4" t="s">
        <v>62</v>
      </c>
      <c r="I16" s="2"/>
      <c r="J16" s="2"/>
      <c r="K16" s="2"/>
      <c r="L16" s="2"/>
      <c r="M16" s="2"/>
      <c r="N16" s="2"/>
      <c r="O16" s="2"/>
      <c r="P16" s="2"/>
      <c r="Q16" s="2"/>
      <c r="R16" s="6"/>
      <c r="S16" s="7"/>
      <c r="T16" s="8"/>
      <c r="U16" s="9"/>
      <c r="V16" s="5"/>
      <c r="W16" s="5"/>
      <c r="X16" s="5"/>
      <c r="Y16" s="5"/>
      <c r="Z16" s="5"/>
    </row>
    <row r="17" ht="17.25" customHeight="1">
      <c r="A17" s="2" t="s">
        <v>60</v>
      </c>
      <c r="B17" s="2" t="s">
        <v>64</v>
      </c>
      <c r="C17" s="2" t="s">
        <v>55</v>
      </c>
      <c r="D17" s="2">
        <v>4.0</v>
      </c>
      <c r="E17" s="2">
        <v>0.01321</v>
      </c>
      <c r="F17" s="2">
        <f t="shared" si="1"/>
        <v>0.05284</v>
      </c>
      <c r="G17" s="2" t="s">
        <v>11</v>
      </c>
      <c r="H17" s="4" t="s">
        <v>62</v>
      </c>
      <c r="I17" s="2"/>
      <c r="J17" s="2"/>
      <c r="K17" s="2"/>
      <c r="L17" s="2"/>
      <c r="M17" s="2"/>
      <c r="N17" s="2"/>
      <c r="O17" s="2"/>
      <c r="P17" s="2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7.25" customHeight="1">
      <c r="A18" s="2" t="s">
        <v>65</v>
      </c>
      <c r="B18" s="2" t="s">
        <v>66</v>
      </c>
      <c r="C18" s="2" t="s">
        <v>55</v>
      </c>
      <c r="D18" s="2">
        <v>1.0</v>
      </c>
      <c r="E18" s="2">
        <v>0.18</v>
      </c>
      <c r="F18" s="2">
        <f t="shared" si="1"/>
        <v>0.18</v>
      </c>
      <c r="G18" s="2" t="s">
        <v>16</v>
      </c>
      <c r="H18" s="4" t="s">
        <v>67</v>
      </c>
      <c r="I18" s="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7.25" customHeight="1">
      <c r="A19" s="2" t="s">
        <v>68</v>
      </c>
      <c r="B19" s="2" t="s">
        <v>69</v>
      </c>
      <c r="C19" s="2" t="s">
        <v>55</v>
      </c>
      <c r="D19" s="2">
        <v>2.0</v>
      </c>
      <c r="E19" s="2">
        <v>0.3</v>
      </c>
      <c r="F19" s="2">
        <f t="shared" si="1"/>
        <v>0.6</v>
      </c>
      <c r="G19" s="2" t="s">
        <v>16</v>
      </c>
      <c r="H19" s="4" t="s">
        <v>70</v>
      </c>
      <c r="I19" s="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7.25" customHeight="1">
      <c r="A20" s="2" t="s">
        <v>71</v>
      </c>
      <c r="B20" s="2" t="s">
        <v>72</v>
      </c>
      <c r="C20" s="2" t="s">
        <v>55</v>
      </c>
      <c r="D20" s="2">
        <v>1.0</v>
      </c>
      <c r="E20" s="2">
        <v>0.097</v>
      </c>
      <c r="F20" s="2">
        <f t="shared" si="1"/>
        <v>0.097</v>
      </c>
      <c r="G20" s="2" t="s">
        <v>16</v>
      </c>
      <c r="H20" s="4" t="s">
        <v>73</v>
      </c>
      <c r="I20" s="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7.25" customHeight="1">
      <c r="A21" s="2" t="s">
        <v>74</v>
      </c>
      <c r="B21" s="2" t="s">
        <v>75</v>
      </c>
      <c r="C21" s="2" t="s">
        <v>55</v>
      </c>
      <c r="D21" s="2">
        <v>1.0</v>
      </c>
      <c r="E21" s="2">
        <v>0.7</v>
      </c>
      <c r="F21" s="2">
        <f t="shared" si="1"/>
        <v>0.7</v>
      </c>
      <c r="G21" s="2" t="s">
        <v>16</v>
      </c>
      <c r="H21" s="4" t="s">
        <v>76</v>
      </c>
      <c r="I21" s="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7.25" customHeight="1">
      <c r="A22" s="2" t="s">
        <v>77</v>
      </c>
      <c r="B22" s="2" t="s">
        <v>78</v>
      </c>
      <c r="C22" s="2" t="s">
        <v>55</v>
      </c>
      <c r="D22" s="2">
        <v>2.0</v>
      </c>
      <c r="E22" s="2">
        <v>0.95</v>
      </c>
      <c r="F22" s="2">
        <f t="shared" si="1"/>
        <v>1.9</v>
      </c>
      <c r="G22" s="2" t="s">
        <v>16</v>
      </c>
      <c r="H22" s="4" t="s">
        <v>79</v>
      </c>
      <c r="I22" s="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7.25" customHeight="1">
      <c r="A23" s="2"/>
      <c r="B23" s="2"/>
      <c r="C23" s="2"/>
      <c r="D23" s="2"/>
      <c r="E23" s="2"/>
      <c r="F23" s="2"/>
      <c r="G23" s="2"/>
      <c r="H23" s="2"/>
      <c r="I23" s="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7.25" customHeight="1">
      <c r="A24" s="2"/>
      <c r="B24" s="2"/>
      <c r="C24" s="2"/>
      <c r="D24" s="2"/>
      <c r="G24" s="2"/>
      <c r="H24" s="2"/>
      <c r="I24" s="2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7.25" customHeight="1">
      <c r="A25" s="2"/>
      <c r="B25" s="2"/>
      <c r="C25" s="2"/>
      <c r="D25" s="2"/>
      <c r="E25" s="2" t="s">
        <v>80</v>
      </c>
      <c r="F25" s="2">
        <f>SUM(F2:F22)</f>
        <v>69.86789</v>
      </c>
      <c r="G25" s="2"/>
      <c r="H25" s="2"/>
      <c r="I25" s="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7.25" customHeight="1">
      <c r="A26" s="2"/>
      <c r="B26" s="2"/>
      <c r="C26" s="2"/>
      <c r="D26" s="2"/>
      <c r="E26" s="2" t="s">
        <v>81</v>
      </c>
      <c r="F26" s="2">
        <f>(F25)</f>
        <v>69.86789</v>
      </c>
      <c r="G26" s="2"/>
      <c r="H26" s="2"/>
      <c r="I26" s="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7.25" customHeight="1">
      <c r="A27" s="2"/>
      <c r="B27" s="2"/>
      <c r="C27" s="2"/>
      <c r="D27" s="2"/>
      <c r="E27" s="2"/>
      <c r="F27" s="2"/>
      <c r="G27" s="2"/>
      <c r="H27" s="2"/>
      <c r="I27" s="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7.25" customHeight="1">
      <c r="A29" s="2"/>
      <c r="B29" s="2"/>
      <c r="C29" s="2"/>
      <c r="D29" s="2"/>
      <c r="E29" s="2"/>
      <c r="F29" s="2"/>
      <c r="G29" s="2"/>
      <c r="H29" s="2"/>
      <c r="I29" s="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7.25" customHeight="1">
      <c r="A30" s="2"/>
      <c r="B30" s="2"/>
      <c r="C30" s="2"/>
      <c r="D30" s="2"/>
      <c r="E30" s="2"/>
      <c r="F30" s="2"/>
      <c r="G30" s="2"/>
      <c r="H30" s="2"/>
      <c r="I30" s="2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7.25" customHeight="1">
      <c r="A31" s="2"/>
      <c r="B31" s="2"/>
      <c r="C31" s="2"/>
      <c r="D31" s="2"/>
      <c r="E31" s="2"/>
      <c r="F31" s="2"/>
      <c r="G31" s="2"/>
      <c r="H31" s="2"/>
      <c r="I31" s="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7.25" customHeight="1">
      <c r="A32" s="2"/>
      <c r="B32" s="2"/>
      <c r="C32" s="2"/>
      <c r="D32" s="2"/>
      <c r="E32" s="2"/>
      <c r="F32" s="2"/>
      <c r="G32" s="2"/>
      <c r="H32" s="2"/>
      <c r="I32" s="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7.25" customHeight="1">
      <c r="A33" s="2"/>
      <c r="B33" s="2"/>
      <c r="C33" s="2"/>
      <c r="D33" s="2"/>
      <c r="E33" s="2"/>
      <c r="F33" s="2"/>
      <c r="G33" s="2"/>
      <c r="H33" s="2"/>
      <c r="I33" s="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7.25" customHeight="1">
      <c r="A34" s="2"/>
      <c r="B34" s="2"/>
      <c r="C34" s="2"/>
      <c r="D34" s="2"/>
      <c r="E34" s="2"/>
      <c r="F34" s="2"/>
      <c r="G34" s="2"/>
      <c r="H34" s="2"/>
      <c r="I34" s="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7.25" customHeight="1">
      <c r="A35" s="2"/>
      <c r="B35" s="2"/>
      <c r="C35" s="2"/>
      <c r="D35" s="2"/>
      <c r="E35" s="2"/>
      <c r="F35" s="2"/>
      <c r="G35" s="2"/>
      <c r="H35" s="2"/>
      <c r="I35" s="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7.25" customHeight="1">
      <c r="A36" s="2"/>
      <c r="B36" s="2"/>
      <c r="C36" s="2"/>
      <c r="D36" s="2"/>
      <c r="E36" s="2"/>
      <c r="F36" s="2"/>
      <c r="G36" s="2"/>
      <c r="H36" s="2"/>
      <c r="I36" s="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7.25" customHeight="1">
      <c r="A37" s="2"/>
      <c r="B37" s="2"/>
      <c r="C37" s="2"/>
      <c r="D37" s="2"/>
      <c r="E37" s="2"/>
      <c r="F37" s="2"/>
      <c r="G37" s="2"/>
      <c r="H37" s="2"/>
      <c r="I37" s="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7.25" customHeight="1">
      <c r="A38" s="2"/>
      <c r="B38" s="2"/>
      <c r="C38" s="2"/>
      <c r="D38" s="2"/>
      <c r="E38" s="2"/>
      <c r="F38" s="2"/>
      <c r="G38" s="2"/>
      <c r="H38" s="2"/>
      <c r="I38" s="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7.25" customHeight="1">
      <c r="A39" s="2"/>
      <c r="B39" s="2"/>
      <c r="C39" s="2"/>
      <c r="D39" s="2"/>
      <c r="E39" s="2"/>
      <c r="F39" s="2"/>
      <c r="G39" s="2"/>
      <c r="H39" s="2"/>
      <c r="I39" s="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7.25" customHeight="1">
      <c r="A40" s="2"/>
      <c r="B40" s="2"/>
      <c r="C40" s="2"/>
      <c r="D40" s="2"/>
      <c r="E40" s="2"/>
      <c r="F40" s="2"/>
      <c r="G40" s="2"/>
      <c r="H40" s="2"/>
      <c r="I40" s="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7.25" customHeight="1">
      <c r="A41" s="2"/>
      <c r="B41" s="2"/>
      <c r="C41" s="2"/>
      <c r="D41" s="2"/>
      <c r="E41" s="2"/>
      <c r="F41" s="2"/>
      <c r="G41" s="2"/>
      <c r="H41" s="2"/>
      <c r="I41" s="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7.25" customHeight="1">
      <c r="A42" s="2"/>
      <c r="B42" s="2"/>
      <c r="C42" s="2"/>
      <c r="D42" s="2"/>
      <c r="E42" s="2"/>
      <c r="F42" s="2"/>
      <c r="G42" s="2"/>
      <c r="H42" s="2"/>
      <c r="I42" s="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7.25" customHeight="1">
      <c r="A43" s="2"/>
      <c r="B43" s="2"/>
      <c r="C43" s="2"/>
      <c r="D43" s="2"/>
      <c r="E43" s="2"/>
      <c r="F43" s="2"/>
      <c r="G43" s="2"/>
      <c r="H43" s="2"/>
      <c r="I43" s="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7.25" customHeight="1">
      <c r="A44" s="2"/>
      <c r="B44" s="2"/>
      <c r="C44" s="2"/>
      <c r="D44" s="2"/>
      <c r="E44" s="2"/>
      <c r="F44" s="2"/>
      <c r="G44" s="2"/>
      <c r="H44" s="2"/>
      <c r="I44" s="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7.25" customHeight="1">
      <c r="A45" s="2"/>
      <c r="B45" s="2"/>
      <c r="C45" s="2"/>
      <c r="D45" s="2"/>
      <c r="E45" s="2"/>
      <c r="F45" s="2"/>
      <c r="G45" s="2"/>
      <c r="H45" s="2"/>
      <c r="I45" s="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7.25" customHeight="1">
      <c r="A46" s="2"/>
      <c r="B46" s="2"/>
      <c r="C46" s="2"/>
      <c r="D46" s="2"/>
      <c r="E46" s="2"/>
      <c r="F46" s="2"/>
      <c r="G46" s="2"/>
      <c r="H46" s="2"/>
      <c r="I46" s="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7.25" customHeight="1">
      <c r="A47" s="2"/>
      <c r="B47" s="2"/>
      <c r="C47" s="2"/>
      <c r="D47" s="2"/>
      <c r="E47" s="2"/>
      <c r="F47" s="2"/>
      <c r="G47" s="2"/>
      <c r="H47" s="2"/>
      <c r="I47" s="2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7.25" customHeight="1">
      <c r="A48" s="2"/>
      <c r="B48" s="2"/>
      <c r="C48" s="2"/>
      <c r="D48" s="2"/>
      <c r="E48" s="2"/>
      <c r="F48" s="2"/>
      <c r="G48" s="2"/>
      <c r="H48" s="2"/>
      <c r="I48" s="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7.25" customHeight="1">
      <c r="A49" s="2"/>
      <c r="B49" s="2"/>
      <c r="C49" s="2"/>
      <c r="D49" s="2"/>
      <c r="E49" s="2"/>
      <c r="F49" s="2"/>
      <c r="G49" s="2"/>
      <c r="H49" s="2"/>
      <c r="I49" s="2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7.25" customHeight="1">
      <c r="A50" s="2"/>
      <c r="B50" s="2"/>
      <c r="C50" s="2"/>
      <c r="D50" s="2"/>
      <c r="E50" s="2"/>
      <c r="F50" s="2"/>
      <c r="G50" s="2"/>
      <c r="H50" s="2"/>
      <c r="I50" s="2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7.25" customHeight="1">
      <c r="A51" s="2"/>
      <c r="B51" s="2"/>
      <c r="C51" s="2"/>
      <c r="D51" s="2"/>
      <c r="E51" s="2"/>
      <c r="F51" s="2"/>
      <c r="G51" s="2"/>
      <c r="H51" s="2"/>
      <c r="I51" s="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7.25" customHeight="1">
      <c r="A52" s="2"/>
      <c r="B52" s="2"/>
      <c r="C52" s="2"/>
      <c r="D52" s="2"/>
      <c r="E52" s="2"/>
      <c r="F52" s="2"/>
      <c r="G52" s="2"/>
      <c r="H52" s="2"/>
      <c r="I52" s="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7.25" customHeight="1">
      <c r="A53" s="2"/>
      <c r="B53" s="2"/>
      <c r="C53" s="2"/>
      <c r="D53" s="2"/>
      <c r="E53" s="2"/>
      <c r="F53" s="2"/>
      <c r="G53" s="2"/>
      <c r="H53" s="2"/>
      <c r="I53" s="2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7.25" customHeight="1">
      <c r="A54" s="2"/>
      <c r="B54" s="2"/>
      <c r="C54" s="2"/>
      <c r="D54" s="2"/>
      <c r="E54" s="2"/>
      <c r="F54" s="2"/>
      <c r="G54" s="2"/>
      <c r="H54" s="2"/>
      <c r="I54" s="2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7.25" customHeight="1">
      <c r="A55" s="2"/>
      <c r="B55" s="2"/>
      <c r="C55" s="2"/>
      <c r="D55" s="2"/>
      <c r="E55" s="2"/>
      <c r="F55" s="2"/>
      <c r="G55" s="2"/>
      <c r="H55" s="2"/>
      <c r="I55" s="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7.25" customHeight="1">
      <c r="A56" s="2"/>
      <c r="B56" s="2"/>
      <c r="C56" s="2"/>
      <c r="D56" s="2"/>
      <c r="E56" s="2"/>
      <c r="F56" s="2"/>
      <c r="G56" s="2"/>
      <c r="H56" s="2"/>
      <c r="I56" s="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7.25" customHeight="1">
      <c r="A57" s="2"/>
      <c r="B57" s="2"/>
      <c r="C57" s="2"/>
      <c r="D57" s="2"/>
      <c r="E57" s="2"/>
      <c r="F57" s="2"/>
      <c r="G57" s="2"/>
      <c r="H57" s="2"/>
      <c r="I57" s="2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7.25" customHeight="1">
      <c r="A58" s="2"/>
      <c r="B58" s="2"/>
      <c r="C58" s="2"/>
      <c r="D58" s="2"/>
      <c r="E58" s="2"/>
      <c r="F58" s="2"/>
      <c r="G58" s="2"/>
      <c r="H58" s="2"/>
      <c r="I58" s="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7.25" customHeight="1">
      <c r="A59" s="2"/>
      <c r="B59" s="2"/>
      <c r="C59" s="2"/>
      <c r="D59" s="2"/>
      <c r="E59" s="2"/>
      <c r="F59" s="2"/>
      <c r="G59" s="2"/>
      <c r="H59" s="2"/>
      <c r="I59" s="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7.25" customHeight="1">
      <c r="A60" s="2"/>
      <c r="B60" s="2"/>
      <c r="C60" s="2"/>
      <c r="D60" s="2"/>
      <c r="E60" s="2"/>
      <c r="F60" s="2"/>
      <c r="G60" s="2"/>
      <c r="H60" s="2"/>
      <c r="I60" s="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7.25" customHeight="1">
      <c r="A61" s="2"/>
      <c r="B61" s="2"/>
      <c r="C61" s="2"/>
      <c r="D61" s="2"/>
      <c r="E61" s="2"/>
      <c r="F61" s="2"/>
      <c r="G61" s="2"/>
      <c r="H61" s="2"/>
      <c r="I61" s="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7.25" customHeight="1">
      <c r="A62" s="2"/>
      <c r="B62" s="2"/>
      <c r="C62" s="2"/>
      <c r="D62" s="2"/>
      <c r="E62" s="2"/>
      <c r="F62" s="2"/>
      <c r="G62" s="2"/>
      <c r="H62" s="2"/>
      <c r="I62" s="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7.25" customHeight="1">
      <c r="A63" s="2"/>
      <c r="B63" s="2"/>
      <c r="C63" s="2"/>
      <c r="D63" s="2"/>
      <c r="E63" s="2"/>
      <c r="F63" s="2"/>
      <c r="G63" s="2"/>
      <c r="H63" s="2"/>
      <c r="I63" s="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7.25" customHeight="1">
      <c r="A65" s="2"/>
      <c r="B65" s="2"/>
      <c r="C65" s="2"/>
      <c r="D65" s="2"/>
      <c r="E65" s="2"/>
      <c r="F65" s="2"/>
      <c r="G65" s="2"/>
      <c r="H65" s="2"/>
      <c r="I65" s="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7.25" customHeight="1">
      <c r="A66" s="2"/>
      <c r="B66" s="2"/>
      <c r="C66" s="2"/>
      <c r="D66" s="2"/>
      <c r="E66" s="2"/>
      <c r="F66" s="2"/>
      <c r="G66" s="2"/>
      <c r="H66" s="2"/>
      <c r="I66" s="2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</hyperlinks>
  <printOptions/>
  <pageMargins bottom="0.75" footer="0.0" header="0.0" left="0.7" right="0.7" top="0.75"/>
  <pageSetup orientation="landscape"/>
  <drawing r:id="rId22"/>
</worksheet>
</file>